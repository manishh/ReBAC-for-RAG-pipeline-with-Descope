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ary Data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<sst xmlns="http://schemas.openxmlformats.org/spreadsheetml/2006/main" count="114" uniqueCount="100">
  <si>
    <t xml:space="preserve">CONFIDENTIAL: 2026 Employee Compensation Data</t>
  </si>
  <si>
    <t xml:space="preserve">Classification: Restricted - HR &amp; Executives Only</t>
  </si>
  <si>
    <t xml:space="preserve">Employee ID</t>
  </si>
  <si>
    <t xml:space="preserve">Full Name</t>
  </si>
  <si>
    <t xml:space="preserve">Department</t>
  </si>
  <si>
    <t xml:space="preserve">Job Title</t>
  </si>
  <si>
    <t xml:space="preserve">Base Salary</t>
  </si>
  <si>
    <t xml:space="preserve">Bonus</t>
  </si>
  <si>
    <t xml:space="preserve">Total Comp</t>
  </si>
  <si>
    <t xml:space="preserve">Hire Date</t>
  </si>
  <si>
    <t xml:space="preserve">EMP001</t>
  </si>
  <si>
    <t xml:space="preserve">Sarah Johnson</t>
  </si>
  <si>
    <t xml:space="preserve">Executive</t>
  </si>
  <si>
    <t xml:space="preserve">CEO</t>
  </si>
  <si>
    <t xml:space="preserve">2019-01-15</t>
  </si>
  <si>
    <t xml:space="preserve">EMP002</t>
  </si>
  <si>
    <t xml:space="preserve">Michael Chen</t>
  </si>
  <si>
    <t xml:space="preserve">Finance</t>
  </si>
  <si>
    <t xml:space="preserve">CFO</t>
  </si>
  <si>
    <t xml:space="preserve">2019-03-01</t>
  </si>
  <si>
    <t xml:space="preserve">EMP003</t>
  </si>
  <si>
    <t xml:space="preserve">Patricia Williams</t>
  </si>
  <si>
    <t xml:space="preserve">Operations</t>
  </si>
  <si>
    <t xml:space="preserve">COO</t>
  </si>
  <si>
    <t xml:space="preserve">2020-06-15</t>
  </si>
  <si>
    <t xml:space="preserve">EMP004</t>
  </si>
  <si>
    <t xml:space="preserve">Robert Martinez</t>
  </si>
  <si>
    <t xml:space="preserve">Engineering</t>
  </si>
  <si>
    <t xml:space="preserve">CTO</t>
  </si>
  <si>
    <t xml:space="preserve">2019-08-01</t>
  </si>
  <si>
    <t xml:space="preserve">EMP005</t>
  </si>
  <si>
    <t xml:space="preserve">Jennifer Lee</t>
  </si>
  <si>
    <t xml:space="preserve">Legal</t>
  </si>
  <si>
    <t xml:space="preserve">General Counsel</t>
  </si>
  <si>
    <t xml:space="preserve">2020-11-01</t>
  </si>
  <si>
    <t xml:space="preserve">EMP006</t>
  </si>
  <si>
    <t xml:space="preserve">David Brown</t>
  </si>
  <si>
    <t xml:space="preserve">VP Engineering</t>
  </si>
  <si>
    <t xml:space="preserve">2020-02-15</t>
  </si>
  <si>
    <t xml:space="preserve">EMP007</t>
  </si>
  <si>
    <t xml:space="preserve">Lisa Anderson</t>
  </si>
  <si>
    <t xml:space="preserve">Sales</t>
  </si>
  <si>
    <t xml:space="preserve">VP Sales</t>
  </si>
  <si>
    <t xml:space="preserve">2021-01-10</t>
  </si>
  <si>
    <t xml:space="preserve">EMP008</t>
  </si>
  <si>
    <t xml:space="preserve">James Wilson</t>
  </si>
  <si>
    <t xml:space="preserve">Finance Director</t>
  </si>
  <si>
    <t xml:space="preserve">2021-05-20</t>
  </si>
  <si>
    <t xml:space="preserve">EMP009</t>
  </si>
  <si>
    <t xml:space="preserve">Maria Garcia</t>
  </si>
  <si>
    <t xml:space="preserve">HR</t>
  </si>
  <si>
    <t xml:space="preserve">HR Director</t>
  </si>
  <si>
    <t xml:space="preserve">2021-09-01</t>
  </si>
  <si>
    <t xml:space="preserve">EMP010</t>
  </si>
  <si>
    <t xml:space="preserve">John Doe</t>
  </si>
  <si>
    <t xml:space="preserve">Senior Engineer</t>
  </si>
  <si>
    <t xml:space="preserve">2022-03-15</t>
  </si>
  <si>
    <t xml:space="preserve">EMP011</t>
  </si>
  <si>
    <t xml:space="preserve">Alice Chen</t>
  </si>
  <si>
    <t xml:space="preserve">2022-06-01</t>
  </si>
  <si>
    <t xml:space="preserve">EMP012</t>
  </si>
  <si>
    <t xml:space="preserve">Daniel Thomas</t>
  </si>
  <si>
    <t xml:space="preserve">Sales Manager</t>
  </si>
  <si>
    <t xml:space="preserve">2022-08-10</t>
  </si>
  <si>
    <t xml:space="preserve">EMP013</t>
  </si>
  <si>
    <t xml:space="preserve">Jessica White</t>
  </si>
  <si>
    <t xml:space="preserve">Marketing</t>
  </si>
  <si>
    <t xml:space="preserve">Marketing Manager</t>
  </si>
  <si>
    <t xml:space="preserve">2023-01-05</t>
  </si>
  <si>
    <t xml:space="preserve">EMP014</t>
  </si>
  <si>
    <t xml:space="preserve">Christopher Lee</t>
  </si>
  <si>
    <t xml:space="preserve">Software Engineer</t>
  </si>
  <si>
    <t xml:space="preserve">2023-04-15</t>
  </si>
  <si>
    <t xml:space="preserve">EMP015</t>
  </si>
  <si>
    <t xml:space="preserve">Jane Smith</t>
  </si>
  <si>
    <t xml:space="preserve">Senior Analyst</t>
  </si>
  <si>
    <t xml:space="preserve">2023-07-01</t>
  </si>
  <si>
    <t xml:space="preserve">EMP016</t>
  </si>
  <si>
    <t xml:space="preserve">Matthew Hall</t>
  </si>
  <si>
    <t xml:space="preserve">Operations Manager</t>
  </si>
  <si>
    <t xml:space="preserve">2023-09-20</t>
  </si>
  <si>
    <t xml:space="preserve">EMP017</t>
  </si>
  <si>
    <t xml:space="preserve">Mike Wilson</t>
  </si>
  <si>
    <t xml:space="preserve">HR Manager</t>
  </si>
  <si>
    <t xml:space="preserve">2024-01-15</t>
  </si>
  <si>
    <t xml:space="preserve">EMP018</t>
  </si>
  <si>
    <t xml:space="preserve">Emily Davis</t>
  </si>
  <si>
    <t xml:space="preserve">2024-03-01</t>
  </si>
  <si>
    <t xml:space="preserve">EMP019</t>
  </si>
  <si>
    <t xml:space="preserve">Stephanie Moore</t>
  </si>
  <si>
    <t xml:space="preserve">Account Executive</t>
  </si>
  <si>
    <t xml:space="preserve">2024-05-10</t>
  </si>
  <si>
    <t xml:space="preserve">EMP020</t>
  </si>
  <si>
    <t xml:space="preserve">Kevin Wright</t>
  </si>
  <si>
    <t xml:space="preserve">Marketing Specialist</t>
  </si>
  <si>
    <t xml:space="preserve">2024-08-01</t>
  </si>
  <si>
    <t xml:space="preserve">TOTALS:</t>
  </si>
  <si>
    <t xml:space="preserve">AVERAGES:</t>
  </si>
  <si>
    <t xml:space="preserve">Last Updated: February 2026</t>
  </si>
  <si>
    <t xml:space="preserve">WARNING: This document contains highly sensitive compensation data. Unauthorized disclosure is prohibited.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</si>
</sst>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C0000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  <font>
      <b val="true"/>
      <sz val="11"/>
      <name val="Cambria"/>
      <family val="0"/>
      <charset val="1"/>
    </font>
    <font>
      <i val="true"/>
      <sz val="9"/>
      <name val="Cambria"/>
      <family val="0"/>
      <charset val="1"/>
    </font>
    <font>
      <b val="true"/>
      <i val="true"/>
      <sz val="9"/>
      <color rgb="FFCC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FFFCC"/>
        <bgColor rgb="FFFFFFFF"/>
      </patternFill>
    </fill>
    <fill>
      <patternFill patternType="solid">
        <fgColor rgb="FFE6F3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0" activeCellId="0" sqref="L3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5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n">
        <v>325000</v>
      </c>
      <c r="F5" s="5" t="n">
        <v>175000</v>
      </c>
      <c r="G5" s="5" t="n">
        <f aca="false">E5+F5</f>
        <v>500000</v>
      </c>
      <c r="H5" s="6" t="s">
        <v>14</v>
      </c>
    </row>
    <row r="6" customFormat="false" ht="15" hidden="false" customHeight="false" outlineLevel="0" collapsed="false">
      <c r="A6" s="4" t="s">
        <v>15</v>
      </c>
      <c r="B6" s="4" t="s">
        <v>16</v>
      </c>
      <c r="C6" s="4" t="s">
        <v>17</v>
      </c>
      <c r="D6" s="4" t="s">
        <v>18</v>
      </c>
      <c r="E6" s="5" t="n">
        <v>285000</v>
      </c>
      <c r="F6" s="5" t="n">
        <v>125000</v>
      </c>
      <c r="G6" s="5" t="n">
        <f aca="false">E6+F6</f>
        <v>410000</v>
      </c>
      <c r="H6" s="6" t="s">
        <v>19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5" t="n">
        <v>275000</v>
      </c>
      <c r="F7" s="5" t="n">
        <v>115000</v>
      </c>
      <c r="G7" s="5" t="n">
        <f aca="false">E7+F7</f>
        <v>390000</v>
      </c>
      <c r="H7" s="6" t="s">
        <v>24</v>
      </c>
    </row>
    <row r="8" customFormat="false" ht="15" hidden="false" customHeight="false" outlineLevel="0" collapsed="false">
      <c r="A8" s="4" t="s">
        <v>25</v>
      </c>
      <c r="B8" s="4" t="s">
        <v>26</v>
      </c>
      <c r="C8" s="4" t="s">
        <v>27</v>
      </c>
      <c r="D8" s="4" t="s">
        <v>28</v>
      </c>
      <c r="E8" s="5" t="n">
        <v>295000</v>
      </c>
      <c r="F8" s="5" t="n">
        <v>135000</v>
      </c>
      <c r="G8" s="5" t="n">
        <f aca="false">E8+F8</f>
        <v>430000</v>
      </c>
      <c r="H8" s="6" t="s">
        <v>29</v>
      </c>
    </row>
    <row r="9" customFormat="false" ht="15" hidden="false" customHeight="false" outlineLevel="0" collapsed="false">
      <c r="A9" s="4" t="s">
        <v>30</v>
      </c>
      <c r="B9" s="4" t="s">
        <v>31</v>
      </c>
      <c r="C9" s="4" t="s">
        <v>32</v>
      </c>
      <c r="D9" s="4" t="s">
        <v>33</v>
      </c>
      <c r="E9" s="5" t="n">
        <v>265000</v>
      </c>
      <c r="F9" s="5" t="n">
        <v>95000</v>
      </c>
      <c r="G9" s="5" t="n">
        <f aca="false">E9+F9</f>
        <v>360000</v>
      </c>
      <c r="H9" s="6" t="s">
        <v>34</v>
      </c>
    </row>
    <row r="10" customFormat="false" ht="15" hidden="false" customHeight="false" outlineLevel="0" collapsed="false">
      <c r="A10" s="4" t="s">
        <v>35</v>
      </c>
      <c r="B10" s="4" t="s">
        <v>36</v>
      </c>
      <c r="C10" s="4" t="s">
        <v>27</v>
      </c>
      <c r="D10" s="4" t="s">
        <v>37</v>
      </c>
      <c r="E10" s="5" t="n">
        <v>225000</v>
      </c>
      <c r="F10" s="5" t="n">
        <v>75000</v>
      </c>
      <c r="G10" s="5" t="n">
        <f aca="false">E10+F10</f>
        <v>300000</v>
      </c>
      <c r="H10" s="6" t="s">
        <v>38</v>
      </c>
    </row>
    <row r="11" customFormat="false" ht="15" hidden="false" customHeight="false" outlineLevel="0" collapsed="false">
      <c r="A11" s="4" t="s">
        <v>39</v>
      </c>
      <c r="B11" s="4" t="s">
        <v>40</v>
      </c>
      <c r="C11" s="4" t="s">
        <v>41</v>
      </c>
      <c r="D11" s="4" t="s">
        <v>42</v>
      </c>
      <c r="E11" s="5" t="n">
        <v>215000</v>
      </c>
      <c r="F11" s="5" t="n">
        <v>95000</v>
      </c>
      <c r="G11" s="5" t="n">
        <f aca="false">E11+F11</f>
        <v>310000</v>
      </c>
      <c r="H11" s="6" t="s">
        <v>43</v>
      </c>
    </row>
    <row r="12" customFormat="false" ht="15" hidden="false" customHeight="false" outlineLevel="0" collapsed="false">
      <c r="A12" s="4" t="s">
        <v>44</v>
      </c>
      <c r="B12" s="4" t="s">
        <v>45</v>
      </c>
      <c r="C12" s="4" t="s">
        <v>17</v>
      </c>
      <c r="D12" s="4" t="s">
        <v>46</v>
      </c>
      <c r="E12" s="5" t="n">
        <v>165000</v>
      </c>
      <c r="F12" s="5" t="n">
        <v>45000</v>
      </c>
      <c r="G12" s="5" t="n">
        <f aca="false">E12+F12</f>
        <v>210000</v>
      </c>
      <c r="H12" s="6" t="s">
        <v>47</v>
      </c>
    </row>
    <row r="13" customFormat="false" ht="15" hidden="false" customHeight="false" outlineLevel="0" collapsed="false">
      <c r="A13" s="4" t="s">
        <v>48</v>
      </c>
      <c r="B13" s="4" t="s">
        <v>49</v>
      </c>
      <c r="C13" s="4" t="s">
        <v>50</v>
      </c>
      <c r="D13" s="4" t="s">
        <v>51</v>
      </c>
      <c r="E13" s="5" t="n">
        <v>155000</v>
      </c>
      <c r="F13" s="5" t="n">
        <v>35000</v>
      </c>
      <c r="G13" s="5" t="n">
        <f aca="false">E13+F13</f>
        <v>190000</v>
      </c>
      <c r="H13" s="6" t="s">
        <v>52</v>
      </c>
    </row>
    <row r="14" customFormat="false" ht="15" hidden="false" customHeight="false" outlineLevel="0" collapsed="false">
      <c r="A14" s="4" t="s">
        <v>53</v>
      </c>
      <c r="B14" s="4" t="s">
        <v>54</v>
      </c>
      <c r="C14" s="4" t="s">
        <v>27</v>
      </c>
      <c r="D14" s="4" t="s">
        <v>55</v>
      </c>
      <c r="E14" s="5" t="n">
        <v>145000</v>
      </c>
      <c r="F14" s="5" t="n">
        <v>25000</v>
      </c>
      <c r="G14" s="5" t="n">
        <f aca="false">E14+F14</f>
        <v>170000</v>
      </c>
      <c r="H14" s="6" t="s">
        <v>56</v>
      </c>
    </row>
    <row r="15" customFormat="false" ht="15" hidden="false" customHeight="false" outlineLevel="0" collapsed="false">
      <c r="A15" s="4" t="s">
        <v>57</v>
      </c>
      <c r="B15" s="7" t="s">
        <v>58</v>
      </c>
      <c r="C15" s="4" t="s">
        <v>27</v>
      </c>
      <c r="D15" s="4" t="s">
        <v>55</v>
      </c>
      <c r="E15" s="5" t="n">
        <v>142000</v>
      </c>
      <c r="F15" s="5" t="n">
        <v>24000</v>
      </c>
      <c r="G15" s="5" t="n">
        <f aca="false">E15+F15</f>
        <v>166000</v>
      </c>
      <c r="H15" s="6" t="s">
        <v>59</v>
      </c>
    </row>
    <row r="16" customFormat="false" ht="15" hidden="false" customHeight="false" outlineLevel="0" collapsed="false">
      <c r="A16" s="4" t="s">
        <v>60</v>
      </c>
      <c r="B16" s="4" t="s">
        <v>61</v>
      </c>
      <c r="C16" s="4" t="s">
        <v>41</v>
      </c>
      <c r="D16" s="4" t="s">
        <v>62</v>
      </c>
      <c r="E16" s="5" t="n">
        <v>135000</v>
      </c>
      <c r="F16" s="5" t="n">
        <v>65000</v>
      </c>
      <c r="G16" s="5" t="n">
        <f aca="false">E16+F16</f>
        <v>200000</v>
      </c>
      <c r="H16" s="6" t="s">
        <v>63</v>
      </c>
    </row>
    <row r="17" customFormat="false" ht="15" hidden="false" customHeight="false" outlineLevel="0" collapsed="false">
      <c r="A17" s="4" t="s">
        <v>64</v>
      </c>
      <c r="B17" s="4" t="s">
        <v>65</v>
      </c>
      <c r="C17" s="4" t="s">
        <v>66</v>
      </c>
      <c r="D17" s="4" t="s">
        <v>67</v>
      </c>
      <c r="E17" s="5" t="n">
        <v>128000</v>
      </c>
      <c r="F17" s="5" t="n">
        <v>22000</v>
      </c>
      <c r="G17" s="5" t="n">
        <f aca="false">E17+F17</f>
        <v>150000</v>
      </c>
      <c r="H17" s="6" t="s">
        <v>68</v>
      </c>
    </row>
    <row r="18" customFormat="false" ht="15" hidden="false" customHeight="false" outlineLevel="0" collapsed="false">
      <c r="A18" s="4" t="s">
        <v>69</v>
      </c>
      <c r="B18" s="4" t="s">
        <v>70</v>
      </c>
      <c r="C18" s="4" t="s">
        <v>27</v>
      </c>
      <c r="D18" s="4" t="s">
        <v>71</v>
      </c>
      <c r="E18" s="5" t="n">
        <v>115000</v>
      </c>
      <c r="F18" s="5" t="n">
        <v>18000</v>
      </c>
      <c r="G18" s="5" t="n">
        <f aca="false">E18+F18</f>
        <v>133000</v>
      </c>
      <c r="H18" s="6" t="s">
        <v>72</v>
      </c>
    </row>
    <row r="19" customFormat="false" ht="15" hidden="false" customHeight="false" outlineLevel="0" collapsed="false">
      <c r="A19" s="4" t="s">
        <v>73</v>
      </c>
      <c r="B19" s="4" t="s">
        <v>74</v>
      </c>
      <c r="C19" s="4" t="s">
        <v>17</v>
      </c>
      <c r="D19" s="4" t="s">
        <v>75</v>
      </c>
      <c r="E19" s="5" t="n">
        <v>105000</v>
      </c>
      <c r="F19" s="5" t="n">
        <v>15000</v>
      </c>
      <c r="G19" s="5" t="n">
        <f aca="false">E19+F19</f>
        <v>120000</v>
      </c>
      <c r="H19" s="6" t="s">
        <v>76</v>
      </c>
    </row>
    <row r="20" customFormat="false" ht="15" hidden="false" customHeight="false" outlineLevel="0" collapsed="false">
      <c r="A20" s="4" t="s">
        <v>77</v>
      </c>
      <c r="B20" s="4" t="s">
        <v>78</v>
      </c>
      <c r="C20" s="4" t="s">
        <v>22</v>
      </c>
      <c r="D20" s="4" t="s">
        <v>79</v>
      </c>
      <c r="E20" s="5" t="n">
        <v>112000</v>
      </c>
      <c r="F20" s="5" t="n">
        <v>18000</v>
      </c>
      <c r="G20" s="5" t="n">
        <f aca="false">E20+F20</f>
        <v>130000</v>
      </c>
      <c r="H20" s="6" t="s">
        <v>80</v>
      </c>
    </row>
    <row r="21" customFormat="false" ht="15" hidden="false" customHeight="false" outlineLevel="0" collapsed="false">
      <c r="A21" s="4" t="s">
        <v>81</v>
      </c>
      <c r="B21" s="4" t="s">
        <v>82</v>
      </c>
      <c r="C21" s="4" t="s">
        <v>50</v>
      </c>
      <c r="D21" s="4" t="s">
        <v>83</v>
      </c>
      <c r="E21" s="5" t="n">
        <v>98000</v>
      </c>
      <c r="F21" s="5" t="n">
        <v>12000</v>
      </c>
      <c r="G21" s="5" t="n">
        <f aca="false">E21+F21</f>
        <v>110000</v>
      </c>
      <c r="H21" s="6" t="s">
        <v>84</v>
      </c>
    </row>
    <row r="22" customFormat="false" ht="15" hidden="false" customHeight="false" outlineLevel="0" collapsed="false">
      <c r="A22" s="4" t="s">
        <v>85</v>
      </c>
      <c r="B22" s="7" t="s">
        <v>86</v>
      </c>
      <c r="C22" s="4" t="s">
        <v>27</v>
      </c>
      <c r="D22" s="4" t="s">
        <v>71</v>
      </c>
      <c r="E22" s="5" t="n">
        <v>108000</v>
      </c>
      <c r="F22" s="5" t="n">
        <v>16000</v>
      </c>
      <c r="G22" s="5" t="n">
        <f aca="false">E22+F22</f>
        <v>124000</v>
      </c>
      <c r="H22" s="6" t="s">
        <v>87</v>
      </c>
    </row>
    <row r="23" customFormat="false" ht="15" hidden="false" customHeight="false" outlineLevel="0" collapsed="false">
      <c r="A23" s="4" t="s">
        <v>88</v>
      </c>
      <c r="B23" s="4" t="s">
        <v>89</v>
      </c>
      <c r="C23" s="4" t="s">
        <v>41</v>
      </c>
      <c r="D23" s="4" t="s">
        <v>90</v>
      </c>
      <c r="E23" s="5" t="n">
        <v>95000</v>
      </c>
      <c r="F23" s="5" t="n">
        <v>45000</v>
      </c>
      <c r="G23" s="5" t="n">
        <f aca="false">E23+F23</f>
        <v>140000</v>
      </c>
      <c r="H23" s="6" t="s">
        <v>91</v>
      </c>
    </row>
    <row r="24" customFormat="false" ht="15" hidden="false" customHeight="false" outlineLevel="0" collapsed="false">
      <c r="A24" s="4" t="s">
        <v>92</v>
      </c>
      <c r="B24" s="4" t="s">
        <v>93</v>
      </c>
      <c r="C24" s="4" t="s">
        <v>66</v>
      </c>
      <c r="D24" s="4" t="s">
        <v>94</v>
      </c>
      <c r="E24" s="5" t="n">
        <v>85000</v>
      </c>
      <c r="F24" s="5" t="n">
        <v>10000</v>
      </c>
      <c r="G24" s="5" t="n">
        <f aca="false">E24+F24</f>
        <v>95000</v>
      </c>
      <c r="H24" s="6" t="s">
        <v>95</v>
      </c>
    </row>
    <row r="26" customFormat="false" ht="15" hidden="false" customHeight="false" outlineLevel="0" collapsed="false">
      <c r="D26" s="8" t="s">
        <v>96</v>
      </c>
      <c r="E26" s="9" t="n">
        <f aca="false">SUM(E5:E24)</f>
        <v>3473000</v>
      </c>
      <c r="F26" s="9" t="n">
        <f aca="false">SUM(F5:F24)</f>
        <v>1165000</v>
      </c>
      <c r="G26" s="9" t="n">
        <f aca="false">SUM(G5:G24)</f>
        <v>4638000</v>
      </c>
    </row>
    <row r="27" customFormat="false" ht="15" hidden="false" customHeight="false" outlineLevel="0" collapsed="false">
      <c r="D27" s="8" t="s">
        <v>97</v>
      </c>
      <c r="E27" s="10" t="n">
        <f aca="false">AVERAGE(E5:E24)</f>
        <v>173650</v>
      </c>
      <c r="F27" s="10" t="n">
        <f aca="false">AVERAGE(F5:F24)</f>
        <v>58250</v>
      </c>
      <c r="G27" s="10" t="n">
        <f aca="false">AVERAGE(G5:G24)</f>
        <v>231900</v>
      </c>
    </row>
    <row r="30" customFormat="false" ht="15" hidden="false" customHeight="false" outlineLevel="0" collapsed="false">
      <c r="A30" s="11" t="s">
        <v>98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2" t="s">
        <v>99</v>
      </c>
      <c r="B31" s="12"/>
      <c r="C31" s="12"/>
      <c r="D31" s="12"/>
      <c r="E31" s="12"/>
      <c r="F31" s="12"/>
      <c r="G31" s="12"/>
      <c r="H31" s="12"/>
    </row>
  </sheetData>
  <mergeCells count="4">
    <mergeCell ref="A1:H1"/>
    <mergeCell ref="A2:H2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2026-02-19T10:54:39Z</dcterms:created>
  <dc:creator>openpyxl</dc:creator>
  <dc:description/>
  <dc:language>en-IN</dc:language>
  <cp:lastModifiedBy/>
  <dcterms:modified xsi:type="dcterms:W3CDTF">2026-02-20T12:36:42Z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